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<sst xmlns="http://schemas.openxmlformats.org/spreadsheetml/2006/main" count="4" uniqueCount="4">
  <si>
    <t>Bond Pricing</t>
  </si>
  <si>
    <t>Year</t>
  </si>
  <si>
    <t>Cash Flow</t>
  </si>
  <si>
    <t>PV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</si>
</sst>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12" sqref="F12"/>
    </sheetView>
  </sheetViews>
  <sheetFormatPr defaultRowHeight="14.25" x14ac:dyDescent="0.2"/>
  <cols>
    <col min="2" max="2" width="10" bestFit="1" customWidth="1"/>
    <col min="3" max="3" width="13.75" bestFit="1" customWidth="1"/>
  </cols>
  <sheetData>
    <row r="1" spans="1:4" ht="20.25" x14ac:dyDescent="0.3">
      <c r="A1" s="1" t="s">
        <v>0</v>
      </c>
      <c r="B1" s="1"/>
      <c r="C1" s="1"/>
      <c r="D1" s="1"/>
    </row>
    <row r="3" spans="1:4" ht="15" x14ac:dyDescent="0.25">
      <c r="A3" s="2" t="s">
        <v>1</v>
      </c>
      <c r="B3" s="2" t="s">
        <v>2</v>
      </c>
      <c r="C3" s="2" t="s">
        <v>3</v>
      </c>
    </row>
    <row r="4" spans="1:4" x14ac:dyDescent="0.2">
      <c r="A4" s="3">
        <v>1</v>
      </c>
      <c r="B4" s="3">
        <v>50</v>
      </c>
      <c r="C4" s="4">
        <f>PV(6%,1,0,-50,0)</f>
        <v>47.169811320754718</v>
      </c>
    </row>
    <row r="5" spans="1:4" x14ac:dyDescent="0.2">
      <c r="A5" s="3">
        <v>2</v>
      </c>
      <c r="B5" s="3">
        <v>50</v>
      </c>
      <c r="C5" s="4">
        <f>PV(6%,2,0,-50,0)</f>
        <v>44.499822000711994</v>
      </c>
    </row>
    <row r="6" spans="1:4" x14ac:dyDescent="0.2">
      <c r="A6" s="3">
        <v>3</v>
      </c>
      <c r="B6" s="3">
        <v>50</v>
      </c>
      <c r="C6" s="4">
        <f>PV(6%,3,0,-50,0)</f>
        <v>41.980964151615083</v>
      </c>
    </row>
    <row r="7" spans="1:4" x14ac:dyDescent="0.2">
      <c r="A7" s="3">
        <v>4</v>
      </c>
      <c r="B7" s="3">
        <v>50</v>
      </c>
      <c r="C7" s="4">
        <f>PV(6%,4,0,-50,0)</f>
        <v>39.604683161901022</v>
      </c>
    </row>
    <row r="8" spans="1:4" x14ac:dyDescent="0.2">
      <c r="A8" s="3">
        <v>5</v>
      </c>
      <c r="B8" s="3">
        <v>50</v>
      </c>
      <c r="C8" s="4">
        <f>PV(6%,5,0,-50,0)</f>
        <v>37.362908643302845</v>
      </c>
    </row>
    <row r="9" spans="1:4" x14ac:dyDescent="0.2">
      <c r="A9" s="3">
        <v>6</v>
      </c>
      <c r="B9" s="3">
        <v>50</v>
      </c>
      <c r="C9" s="4">
        <f>PV(6%,6,0,-50,0)</f>
        <v>35.248027021983816</v>
      </c>
    </row>
    <row r="10" spans="1:4" x14ac:dyDescent="0.2">
      <c r="A10" s="3">
        <v>7</v>
      </c>
      <c r="B10" s="3">
        <v>50</v>
      </c>
      <c r="C10" s="4">
        <f>PV(6%,7,0,-50,0)</f>
        <v>33.252855681116799</v>
      </c>
    </row>
    <row r="11" spans="1:4" x14ac:dyDescent="0.2">
      <c r="A11" s="3">
        <v>8</v>
      </c>
      <c r="B11" s="3">
        <v>50</v>
      </c>
      <c r="C11" s="4">
        <f>PV(6%,8,0,-50,0)</f>
        <v>31.370618567091324</v>
      </c>
    </row>
    <row r="12" spans="1:4" x14ac:dyDescent="0.2">
      <c r="A12" s="3">
        <v>9</v>
      </c>
      <c r="B12" s="3">
        <v>50</v>
      </c>
      <c r="C12" s="4">
        <f>PV(6%,9,0,-50,0)</f>
        <v>29.594923176501251</v>
      </c>
    </row>
    <row r="13" spans="1:4" x14ac:dyDescent="0.2">
      <c r="A13" s="3">
        <v>10</v>
      </c>
      <c r="B13" s="3">
        <v>1050</v>
      </c>
      <c r="C13" s="4">
        <f>PV(6%,10,0,-50,0)</f>
        <v>27.919738845755894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2026-05-02T10:23:36Z</dcterms:created>
  <dcterms:modified xsi:type="dcterms:W3CDTF">2026-05-02T10:29:30Z</dcterms:modified>
</cp:coreProperties>
</file>